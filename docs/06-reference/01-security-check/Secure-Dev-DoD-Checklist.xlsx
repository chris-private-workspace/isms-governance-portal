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drawings/drawing1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n0="http://schemas.openxmlformats.org/officeDocument/2006/relationships" xmlns:n1="http://schemas.openxmlformats.org/officeDocument/2006/relationships" xmlns:n2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name="DoD Checklist" sheetId="2" n2:id="rId4"/>
    <sheet name="Findings Register" sheetId="3" n2:id="rId5"/>
    <sheet name="Severity Summary" sheetId="4" n2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"/>
    <numFmt numFmtId="165" formatCode="#,##0"/>
  </numFmts>
  <fonts count="30">
    <font>
      <name val="Calibri"/>
      <family val="2"/>
      <color theme="1"/>
      <sz val="11"/>
      <scheme val="minor"/>
    </font>
    <font>
      <sz val="10"/>
      <name val="Arial"/>
    </font>
    <font>
      <b/>
      <sz val="16"/>
    </font>
    <font>
      <b/>
      <sz val="12"/>
    </font>
    <font>
      <b/>
      <sz val="12"/>
    </font>
    <font>
      <b/>
      <sz val="12"/>
    </font>
    <font>
      <b/>
      <sz val="12"/>
    </font>
    <font>
      <b/>
      <sz val="12"/>
    </font>
    <font>
      <b/>
    </font>
    <font/>
    <font>
      <b/>
    </font>
    <font>
      <sz val="10"/>
      <name val="Arial"/>
    </font>
    <font/>
    <font/>
    <font>
      <sz val="10"/>
      <name val="Arial"/>
    </font>
    <font/>
    <font/>
    <font/>
    <font>
      <sz val="10"/>
      <name val="Arial"/>
    </font>
    <font>
      <b/>
      <sz val="13"/>
    </font>
    <font>
      <b/>
      <sz val="13"/>
    </font>
    <font>
      <b/>
    </font>
    <font>
      <b/>
    </font>
    <font/>
    <font/>
    <font>
      <b/>
    </font>
    <font>
      <b/>
    </font>
    <font/>
    <font/>
    <font>
      <i/>
    </font>
  </fonts>
  <fills count="7">
    <fill>
      <patternFill/>
    </fill>
    <fill>
      <patternFill patternType="gray125"/>
    </fill>
    <fill>
      <patternFill patternType="solid">
        <fgColor rgb="FFD9E1F2"/>
      </patternFill>
    </fill>
    <fill>
      <patternFill patternType="solid">
        <fgColor rgb="FFD9E1F2"/>
      </patternFill>
    </fill>
    <fill>
      <patternFill patternType="solid">
        <fgColor rgb="FFD9E1F2"/>
      </patternFill>
    </fill>
    <fill>
      <patternFill patternType="solid">
        <fgColor rgb="FFF2F2F2"/>
      </patternFill>
    </fill>
    <fill>
      <patternFill patternType="solid">
        <fgColor rgb="FFF2F2F2"/>
      </patternFill>
    </fill>
  </fills>
  <borders count="7">
    <border>
      <left/>
      <right/>
      <top/>
      <bottom/>
      <diagonal/>
    </border>
    <border>
      <left style="thin">
        <color rgb="FF8EA9DB"/>
      </left>
      <right style="thin">
        <color rgb="FF8EA9DB"/>
      </right>
      <top style="thin">
        <color rgb="FF8EA9DB"/>
      </top>
      <bottom style="thin">
        <color rgb="FF8EA9DB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8EA9DB"/>
      </left>
      <right style="thin">
        <color rgb="FF8EA9DB"/>
      </right>
      <top style="thin">
        <color rgb="FF8EA9DB"/>
      </top>
      <bottom style="thin">
        <color rgb="FF8EA9DB"/>
      </bottom>
      <diagonal/>
    </border>
    <border>
      <left style="thin">
        <color rgb="FF8EA9DB"/>
      </left>
      <right style="thin">
        <color rgb="FF8EA9DB"/>
      </right>
      <top style="thin">
        <color rgb="FF8EA9DB"/>
      </top>
      <bottom style="thin">
        <color rgb="FF8EA9DB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fontId="1" fillId="0" borderId="0" applyFont="1"/>
    <xf fontId="2" fillId="0" borderId="0" applyFont="1"/>
    <xf fontId="3" fillId="0" borderId="0" applyFont="1"/>
    <xf fontId="4" fillId="0" borderId="0" applyFont="1"/>
    <xf fontId="5" fillId="0" borderId="0" applyFont="1"/>
    <xf fontId="6" fillId="0" borderId="0" applyFont="1"/>
    <xf fontId="7" fillId="0" borderId="0" applyFont="1"/>
    <xf fontId="8" fillId="2" borderId="1" applyFont="1" applyFill="1" applyBorder="1"/>
    <xf fontId="9" fillId="0" borderId="2" applyFont="1" applyBorder="1"/>
    <xf fontId="10" fillId="0" borderId="0" applyFont="1"/>
    <xf fontId="11" fillId="0" borderId="0" applyFont="1" applyAlignment="1">
      <alignment vertical="top"/>
    </xf>
    <xf fontId="12" fillId="0" borderId="0" applyFont="1" applyAlignment="1">
      <alignment wrapText="1"/>
    </xf>
    <xf fontId="13" fillId="0" borderId="0" applyFont="1" applyAlignment="1">
      <alignment horizontal="center"/>
    </xf>
    <xf fontId="14" fillId="0" borderId="0" applyFont="1" applyAlignment="1">
      <alignment vertical="top"/>
    </xf>
    <xf fontId="15" fillId="0" borderId="0" applyFont="1" applyAlignment="1">
      <alignment wrapText="1"/>
    </xf>
    <xf fontId="16" fillId="0" borderId="0" applyFont="1" applyAlignment="1">
      <alignment wrapText="1"/>
    </xf>
    <xf fontId="17" fillId="0" borderId="0" applyFont="1" numFmtId="164" applyNumberFormat="1" applyAlignment="1">
      <alignment horizontal="center"/>
    </xf>
    <xf fontId="18" fillId="0" borderId="0" applyFont="1"/>
    <xf fontId="19" fillId="0" borderId="0" applyFont="1"/>
    <xf fontId="20" fillId="0" borderId="0" applyFont="1"/>
    <xf fontId="21" fillId="3" borderId="3" applyFont="1" applyFill="1" applyBorder="1"/>
    <xf fontId="22" fillId="4" borderId="4" applyFont="1" applyFill="1" applyBorder="1"/>
    <xf fontId="23" fillId="0" borderId="5" applyFont="1" applyBorder="1"/>
    <xf fontId="24" fillId="0" borderId="6" applyFont="1" applyBorder="1"/>
    <xf fontId="25" fillId="5" borderId="0" applyFont="1" applyFill="1"/>
    <xf fontId="26" fillId="6" borderId="0" applyFont="1" applyFill="1"/>
    <xf fontId="27" fillId="0" borderId="0" applyFont="1" numFmtId="165" applyNumberFormat="1" applyAlignment="1">
      <alignment horizontal="center"/>
    </xf>
    <xf fontId="28" fillId="0" borderId="0" applyFont="1" numFmtId="165" applyNumberFormat="1" applyAlignment="1">
      <alignment horizontal="center"/>
    </xf>
    <xf fontId="29" fillId="0" borderId="0" applyFont="1"/>
  </cellXfs>
  <cellStyles count="1">
    <cellStyle name="Normal" xfId="0" builtinId="0" hidden="0"/>
  </cellStyles>
  <dxfs count="7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color rgb="FFFFFFFF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color rgb="FFFFFFFF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
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r>
              <a:t>Transport, session and data-protection issues dominate the findings</a:t>
            </a:r>
          </a:p>
        </c:rich>
      </c:tx>
    </c:title>
    <c:overlay val="0"/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Instances</c:v>
          </c:tx>
          <c:spPr>
            <a:solidFill>
              <a:srgbClr val="4472C4"/>
            </a:solidFill>
          </c:spPr>
          <c:cat>
            <c:strRef>
              <c:f>'Severity Summary'!A9:A17</c:f>
            </c:strRef>
          </c:cat>
          <c:val>
            <c:numRef>
              <c:f>'Severity Summary'!C9:C17</c:f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11111111"/>
        <c:axId val="222222222"/>
      </c:barChart>
      <c:catAx>
        <c:axId val="11111111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r>
                  <a:t>Instances</a:t>
                </a:r>
              </a:p>
            </c:rich>
          </c:tx>
        </c:title>
        <c:overlay val="0"/>
        <c:crossAx val="222222222"/>
      </c:catAx>
      <c:valAx>
        <c:axId val="22222222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r>
                  <a:t>Risk category</a:t>
                </a:r>
              </a:p>
            </c:rich>
          </c:tx>
        </c:title>
        <c:overlay val="0"/>
        <c:crossAx val="111111111"/>
      </c:valAx>
    </c:plotArea>
    <c:legend>
      <c:legendPos val="r"/>
    </c:legend>
    <c:plotVisOnly val="1"/>
  </c:chart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7</xdr:row>
      <xdr:rowOff>0</xdr:rowOff>
    </xdr:from>
    <xdr:to>
      <xdr:col>11</xdr:col>
      <xdr:colOff>0</xdr:colOff>
      <xdr:row>21</xdr:row>
      <xdr:rowOff>0</xdr:rowOff>
    </xdr:to>
    <xdr:graphicFrame macro="">
      <xdr:nvGraphicFramePr>
        <xdr:cNvPr id="2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DoDChecklist" displayName="DoDChecklist" ref="A1:H29" totalsRowShown="0">
  <autoFilter ref="A1:H29"/>
  <tableColumns count="8">
    <tableColumn id="1" name="No"/>
    <tableColumn id="2" name="Category"/>
    <tableColumn id="3" name="Checkpoint"/>
    <tableColumn id="4" name="Related Finding"/>
    <tableColumn id="5" name="Severity If Missed"/>
    <tableColumn id="6" name="Owner"/>
    <tableColumn id="7" name="Status"/>
    <tableColumn id="8" name="Evidence / Not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FindingsRegister" displayName="FindingsRegister" ref="A1:G39" totalsRowShown="0">
  <autoFilter ref="A1:G39"/>
  <tableColumns count="7">
    <tableColumn id="1" name="ID"/>
    <tableColumn id="2" name="Finding"/>
    <tableColumn id="3" name="Source Report"/>
    <tableColumn id="4" name="Severity"/>
    <tableColumn id="5" name="Instances"/>
    <tableColumn id="6" name="Risk Category"/>
    <tableColumn id="7" name="Remediation Stated In Repor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min="1" max="1" width="34" customWidth="1"/>
    <col min="2" max="2" width="46" customWidth="1"/>
    <col min="3" max="3" width="14" customWidth="1"/>
    <col min="4" max="4" width="52" customWidth="1"/>
  </cols>
  <sheetData>
    <row r="1">
      <c r="A1" t="inlineStr" s="2">
        <is>
          <t>Secure Development — Definition of Done Checklist</t>
        </is>
      </c>
      <c r="B1" s="1"/>
      <c r="C1" s="1"/>
      <c r="D1" s="1"/>
      <c r="E1" s="1"/>
      <c r="F1" s="1"/>
      <c r="G1" s="1"/>
      <c r="H1" s="1"/>
    </row>
    <row r="2">
      <c r="A2" t="inlineStr" s="1">
        <is>
          <t>Derived from the SCM / ITPM security scanning reports. Use during development so these risks are closed before the pre-go-live scan.</t>
        </is>
      </c>
      <c r="B2" s="1"/>
      <c r="C2" s="1"/>
      <c r="D2" s="1"/>
      <c r="E2" s="1"/>
      <c r="F2" s="1"/>
      <c r="G2" s="1"/>
      <c r="H2" s="1"/>
    </row>
    <row r="3">
      <c r="A3" s="1"/>
      <c r="B3" s="1"/>
      <c r="C3" s="1"/>
      <c r="D3" s="1"/>
      <c r="E3" s="1"/>
      <c r="F3" s="1"/>
      <c r="G3" s="1"/>
      <c r="H3" s="1"/>
    </row>
    <row r="4">
      <c r="A4" t="inlineStr" s="3">
        <is>
          <t>Source reports</t>
        </is>
      </c>
      <c r="B4" s="1"/>
      <c r="C4" s="1"/>
      <c r="D4" s="1"/>
      <c r="E4" s="1"/>
      <c r="F4" s="1"/>
      <c r="G4" s="1"/>
      <c r="H4" s="1"/>
    </row>
    <row r="5">
      <c r="A5" t="inlineStr" s="8">
        <is>
          <t>Report</t>
        </is>
      </c>
      <c r="B5" t="inlineStr" s="8">
        <is>
          <t>Scanner</t>
        </is>
      </c>
      <c r="C5" t="inlineStr" s="8">
        <is>
          <t>Date</t>
        </is>
      </c>
      <c r="D5" t="inlineStr" s="8">
        <is>
          <t>Scope</t>
        </is>
      </c>
      <c r="E5" s="1"/>
      <c r="F5" s="1"/>
      <c r="G5" s="1"/>
      <c r="H5" s="1"/>
    </row>
    <row r="6">
      <c r="A6" t="inlineStr" s="9">
        <is>
          <t>SCM_ITPM_Web_Scanning_Report</t>
        </is>
      </c>
      <c r="B6" t="inlineStr" s="9">
        <is>
          <t>Qualys WAS (Qualys, Burp, Bugcrowd)</t>
        </is>
      </c>
      <c r="C6" t="inlineStr" s="9">
        <is>
          <t>2026-07-30</t>
        </is>
      </c>
      <c r="D6" t="inlineStr" s="9">
        <is>
          <t>Web applications RAPO-ITPM and RAPO-SCM</t>
        </is>
      </c>
      <c r="E6" s="1"/>
      <c r="F6" s="1"/>
      <c r="G6" s="1"/>
      <c r="H6" s="1"/>
    </row>
    <row r="7">
      <c r="A7" t="inlineStr" s="9">
        <is>
          <t>SCM_ITPM_Infra_Scanning_Report</t>
        </is>
      </c>
      <c r="B7" t="inlineStr" s="9">
        <is>
          <t>Rapid7 InsightVM (site APsite12)</t>
        </is>
      </c>
      <c r="C7" t="inlineStr" s="9">
        <is>
          <t>2026-07-29</t>
        </is>
      </c>
      <c r="D7" t="inlineStr" s="9">
        <is>
          <t>Hosts 13.75.34.162 and 20.189.109.97 (Microsoft Windows)</t>
        </is>
      </c>
      <c r="E7" s="1"/>
      <c r="F7" s="1"/>
      <c r="G7" s="1"/>
      <c r="H7" s="1"/>
    </row>
    <row r="8">
      <c r="A8" s="1"/>
      <c r="B8" s="1"/>
      <c r="C8" s="1"/>
      <c r="D8" s="1"/>
      <c r="E8" s="1"/>
      <c r="F8" s="1"/>
      <c r="G8" s="1"/>
      <c r="H8" s="1"/>
    </row>
    <row r="9">
      <c r="A9" t="inlineStr" s="4">
        <is>
          <t>Sheet map</t>
        </is>
      </c>
      <c r="B9" s="1"/>
      <c r="C9" s="1"/>
      <c r="D9" s="1"/>
      <c r="E9" s="1"/>
      <c r="F9" s="1"/>
      <c r="G9" s="1"/>
      <c r="H9" s="1"/>
    </row>
    <row r="10">
      <c r="A10" t="inlineStr" s="10">
        <is>
          <t>DoD Checklist</t>
        </is>
      </c>
      <c r="B10" t="inlineStr" s="1">
        <is>
          <t>28 checkpoints to confirm before a story is considered done. Fill in Owner and Status.</t>
        </is>
      </c>
      <c r="C10" s="1"/>
      <c r="D10" s="1"/>
      <c r="E10" s="1"/>
      <c r="F10" s="1"/>
      <c r="G10" s="1"/>
      <c r="H10" s="1"/>
    </row>
    <row r="11">
      <c r="A11" t="inlineStr" s="10">
        <is>
          <t>Findings Register</t>
        </is>
      </c>
      <c r="B11" t="inlineStr" s="1">
        <is>
          <t>Every finding reported in the two scans, with severity, instance count and the remediation stated in the report.</t>
        </is>
      </c>
      <c r="C11" s="1"/>
      <c r="D11" s="1"/>
      <c r="E11" s="1"/>
      <c r="F11" s="1"/>
      <c r="G11" s="1"/>
      <c r="H11" s="1"/>
    </row>
    <row r="12">
      <c r="A12" t="inlineStr" s="10">
        <is>
          <t>Severity Summary</t>
        </is>
      </c>
      <c r="B12" t="inlineStr" s="1">
        <is>
          <t>Severity distribution per web application, as reported in the scan summary.</t>
        </is>
      </c>
      <c r="C12" s="1"/>
      <c r="D12" s="1"/>
      <c r="E12" s="1"/>
      <c r="F12" s="1"/>
      <c r="G12" s="1"/>
      <c r="H12" s="1"/>
    </row>
    <row r="13">
      <c r="A13" s="1"/>
      <c r="B13" s="1"/>
      <c r="C13" s="1"/>
      <c r="D13" s="1"/>
      <c r="E13" s="1"/>
      <c r="F13" s="1"/>
      <c r="G13" s="1"/>
      <c r="H13" s="1"/>
    </row>
    <row r="14">
      <c r="A14" t="inlineStr" s="5">
        <is>
          <t>How to use</t>
        </is>
      </c>
      <c r="B14" s="1"/>
      <c r="C14" s="1"/>
      <c r="D14" s="1"/>
      <c r="E14" s="1"/>
      <c r="F14" s="1"/>
      <c r="G14" s="1"/>
      <c r="H14" s="1"/>
    </row>
    <row r="15">
      <c r="A15" t="inlineStr" s="1">
        <is>
          <t>1. At sprint planning, assign an Owner to every checkpoint that the sprint's scope can affect.</t>
        </is>
      </c>
      <c r="B15" s="1"/>
      <c r="C15" s="1"/>
      <c r="D15" s="1"/>
      <c r="E15" s="1"/>
      <c r="F15" s="1"/>
      <c r="G15" s="1"/>
      <c r="H15" s="1"/>
    </row>
    <row r="16">
      <c r="A16" t="inlineStr" s="1">
        <is>
          <t>2. Set Status from the dropdown (Not Started / In Progress / Done / N/A). A story is done only when no applicable checkpoint is left open.</t>
        </is>
      </c>
      <c r="B16" s="1"/>
      <c r="C16" s="1"/>
      <c r="D16" s="1"/>
      <c r="E16" s="1"/>
      <c r="F16" s="1"/>
      <c r="G16" s="1"/>
      <c r="H16" s="1"/>
    </row>
    <row r="17">
      <c r="A17" t="inlineStr" s="1">
        <is>
          <t>3. Use the Findings Register to confirm a fix actually closes the matching QID before requesting a re-scan.</t>
        </is>
      </c>
      <c r="B17" s="1"/>
      <c r="C17" s="1"/>
      <c r="D17" s="1"/>
      <c r="E17" s="1"/>
      <c r="F17" s="1"/>
      <c r="G17" s="1"/>
      <c r="H17" s="1"/>
    </row>
    <row r="18">
      <c r="A18" s="1"/>
      <c r="B18" s="1"/>
      <c r="C18" s="1"/>
      <c r="D18" s="1"/>
      <c r="E18" s="1"/>
      <c r="F18" s="1"/>
      <c r="G18" s="1"/>
      <c r="H18" s="1"/>
    </row>
    <row r="19">
      <c r="A19" t="inlineStr" s="6">
        <is>
          <t>Severity scale</t>
        </is>
      </c>
      <c r="B19" s="1"/>
      <c r="C19" s="1"/>
      <c r="D19" s="1"/>
      <c r="E19" s="1"/>
      <c r="F19" s="1"/>
      <c r="G19" s="1"/>
      <c r="H19" s="1"/>
    </row>
    <row r="20">
      <c r="A20" t="inlineStr" s="1">
        <is>
          <t>Qualys WAS: Level 1 (lowest) to Level 5 (highest). Rapid7 InsightVM: Moderate / Severe / Critical.</t>
        </is>
      </c>
      <c r="B20" s="1"/>
      <c r="C20" s="1"/>
      <c r="D20" s="1"/>
      <c r="E20" s="1"/>
      <c r="F20" s="1"/>
      <c r="G20" s="1"/>
      <c r="H20" s="1"/>
    </row>
    <row r="21">
      <c r="A21" t="inlineStr" s="1">
        <is>
          <t>Confirmed Vulnerability = proven by the scanner. Potential Vulnerability = requires manual verification. Information Gathered = observation with security relevance.</t>
        </is>
      </c>
      <c r="B21" s="1"/>
      <c r="C21" s="1"/>
      <c r="D21" s="1"/>
      <c r="E21" s="1"/>
      <c r="F21" s="1"/>
      <c r="G21" s="1"/>
      <c r="H21" s="1"/>
    </row>
    <row r="22">
      <c r="A22" s="1"/>
      <c r="B22" s="1"/>
      <c r="C22" s="1"/>
      <c r="D22" s="1"/>
      <c r="E22" s="1"/>
      <c r="F22" s="1"/>
      <c r="G22" s="1"/>
      <c r="H22" s="1"/>
    </row>
    <row r="23">
      <c r="A23" t="inlineStr" s="7">
        <is>
          <t>Confidentiality</t>
        </is>
      </c>
      <c r="B23" s="1"/>
      <c r="C23" s="1"/>
      <c r="D23" s="1"/>
      <c r="E23" s="1"/>
      <c r="F23" s="1"/>
      <c r="G23" s="1"/>
      <c r="H23" s="1"/>
    </row>
    <row r="24">
      <c r="A24" t="inlineStr" s="1">
        <is>
          <t>Both source reports are marked confidential and proprietary. Handle this workbook to the same standard.</t>
        </is>
      </c>
      <c r="B24" s="1"/>
      <c r="C24" s="1"/>
      <c r="D24" s="1"/>
      <c r="E24" s="1"/>
      <c r="F24" s="1"/>
      <c r="G24" s="1"/>
      <c r="H24" s="1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n0="http://schemas.openxmlformats.org/officeDocument/2006/relationships">
  <sheetViews>
    <sheetView workbookViewId="0">
      <pane xSplit="2" ySplit="1" topLeftCell="C2" activePane="bottomRight" state="frozen"/>
    </sheetView>
  </sheetViews>
  <cols>
    <col min="1" max="1" width="5" customWidth="1"/>
    <col min="2" max="2" width="24" customWidth="1"/>
    <col min="3" max="3" width="68" customWidth="1"/>
    <col min="4" max="4" width="40" customWidth="1"/>
    <col min="5" max="5" width="20" customWidth="1"/>
    <col min="6" max="6" width="16" customWidth="1"/>
    <col min="7" max="7" width="14" customWidth="1"/>
    <col min="8" max="8" width="32" customWidth="1"/>
  </cols>
  <sheetData>
    <row r="1">
      <c r="A1" t="inlineStr" s="11">
        <is>
          <t>No</t>
        </is>
      </c>
      <c r="B1" t="inlineStr" s="11">
        <is>
          <t>Category</t>
        </is>
      </c>
      <c r="C1" t="inlineStr" s="11">
        <is>
          <t>Checkpoint</t>
        </is>
      </c>
      <c r="D1" t="inlineStr" s="11">
        <is>
          <t>Related Finding</t>
        </is>
      </c>
      <c r="E1" t="inlineStr" s="11">
        <is>
          <t>Severity If Missed</t>
        </is>
      </c>
      <c r="F1" t="inlineStr" s="11">
        <is>
          <t>Owner</t>
        </is>
      </c>
      <c r="G1" t="inlineStr" s="11">
        <is>
          <t>Status</t>
        </is>
      </c>
      <c r="H1" t="inlineStr" s="11">
        <is>
          <t>Evidence / Notes</t>
        </is>
      </c>
    </row>
    <row r="2">
      <c r="A2" s="13">
        <v>1</v>
      </c>
      <c r="B2" t="inlineStr" s="11">
        <is>
          <t>Transport &amp; Certificates</t>
        </is>
      </c>
      <c r="C2" t="inlineStr" s="12">
        <is>
          <t>Application listens on HTTPS only; all non-HTTPS requests are redirected with 301/302</t>
        </is>
      </c>
      <c r="D2" t="inlineStr" s="12">
        <is>
          <t>150263 Insecure Transport</t>
        </is>
      </c>
      <c r="E2" t="inlineStr" s="12">
        <is>
          <t>Confirmed - Level 3</t>
        </is>
      </c>
      <c r="F2" s="11"/>
      <c r="G2" s="11"/>
      <c r="H2" s="11"/>
    </row>
    <row r="3">
      <c r="A3" s="13">
        <v>2</v>
      </c>
      <c r="B3" t="inlineStr" s="11">
        <is>
          <t>Transport &amp; Certificates</t>
        </is>
      </c>
      <c r="C3" t="inlineStr" s="12">
        <is>
          <t>Strict-Transport-Security (HSTS) header is issued on all responses</t>
        </is>
      </c>
      <c r="D3" t="inlineStr" s="12">
        <is>
          <t>150135 HSTS not implemented</t>
        </is>
      </c>
      <c r="E3" t="inlineStr" s="12">
        <is>
          <t>Info Gathered - Level 1</t>
        </is>
      </c>
      <c r="F3" s="11"/>
      <c r="G3" s="11"/>
      <c r="H3" s="11"/>
    </row>
    <row r="4">
      <c r="A4" s="13">
        <v>3</v>
      </c>
      <c r="B4" t="inlineStr" s="11">
        <is>
          <t>Transport &amp; Certificates</t>
        </is>
      </c>
      <c r="C4" t="inlineStr" s="12">
        <is>
          <t>TLS 1.2 or above only; SSLv2, SSLv3, TLS 1.0 and TLS 1.1 disabled</t>
        </is>
      </c>
      <c r="D4" t="inlineStr" s="12">
        <is>
          <t>ssl-weak-message-authentication-code-algorithms</t>
        </is>
      </c>
      <c r="E4" t="inlineStr" s="12">
        <is>
          <t>Severe</t>
        </is>
      </c>
      <c r="F4" s="11"/>
      <c r="G4" s="11"/>
      <c r="H4" s="11"/>
    </row>
    <row r="5">
      <c r="A5" s="13">
        <v>4</v>
      </c>
      <c r="B5" t="inlineStr" s="11">
        <is>
          <t>Transport &amp; Certificates</t>
        </is>
      </c>
      <c r="C5" t="inlineStr" s="12">
        <is>
          <t>Cipher suites limited to ECDHE key exchange with AEAD (GCM / CHACHA20-POLY1305); MD5, SHA1, RC4, 3DES, DES, static-RSA and NULL/EXPORT disabled</t>
        </is>
      </c>
      <c r="D5" t="inlineStr" s="12">
        <is>
          <t>ssl-static-key-ciphers; ssl-only-weak-ciphers</t>
        </is>
      </c>
      <c r="E5" t="inlineStr" s="12">
        <is>
          <t>Moderate</t>
        </is>
      </c>
      <c r="F5" s="11"/>
      <c r="G5" s="11"/>
      <c r="H5" s="11"/>
    </row>
    <row r="6">
      <c r="A6" s="13">
        <v>5</v>
      </c>
      <c r="B6" t="inlineStr" s="11">
        <is>
          <t>Transport &amp; Certificates</t>
        </is>
      </c>
      <c r="C6" t="inlineStr" s="12">
        <is>
          <t>Certificate CN and SAN match the actual public hostname; custom domain with organisation-owned certificate is bound</t>
        </is>
      </c>
      <c r="D6" t="inlineStr" s="12">
        <is>
          <t>certificate-common-name-mismatch</t>
        </is>
      </c>
      <c r="E6" t="inlineStr" s="12">
        <is>
          <t>Severe (highest risk score)</t>
        </is>
      </c>
      <c r="F6" s="11"/>
      <c r="G6" s="11"/>
      <c r="H6" s="11"/>
    </row>
    <row r="7">
      <c r="A7" s="13">
        <v>6</v>
      </c>
      <c r="B7" t="inlineStr" s="11">
        <is>
          <t>Transport &amp; Certificates</t>
        </is>
      </c>
      <c r="C7" t="inlineStr" s="12">
        <is>
          <t>Management and deployment ports (8172 Web Deploy, SCM, FTP) are closed externally or IP-restricted</t>
        </is>
      </c>
      <c r="D7" t="inlineStr" s="12">
        <is>
          <t>http-iis-0035; ssl-only-weak-ciphers (port 8172)</t>
        </is>
      </c>
      <c r="E7" t="inlineStr" s="12">
        <is>
          <t>Severe</t>
        </is>
      </c>
      <c r="F7" s="11"/>
      <c r="G7" s="11"/>
      <c r="H7" s="11"/>
    </row>
    <row r="8">
      <c r="A8" s="13">
        <v>7</v>
      </c>
      <c r="B8" t="inlineStr" s="11">
        <is>
          <t>Session &amp; Cookies</t>
        </is>
      </c>
      <c r="C8" t="inlineStr" s="12">
        <is>
          <t>Every cookie sets Secure, HttpOnly and an explicit SameSite attribute</t>
        </is>
      </c>
      <c r="D8" t="inlineStr" s="12">
        <is>
          <t>150120; 150121; 150122; 150123; 150277</t>
        </is>
      </c>
      <c r="E8" t="inlineStr" s="12">
        <is>
          <t>Confirmed - Level 3</t>
        </is>
      </c>
      <c r="F8" s="11"/>
      <c r="G8" s="11"/>
      <c r="H8" s="11"/>
    </row>
    <row r="9">
      <c r="A9" s="13">
        <v>8</v>
      </c>
      <c r="B9" t="inlineStr" s="11">
        <is>
          <t>Session &amp; Cookies</t>
        </is>
      </c>
      <c r="C9" t="inlineStr" s="12">
        <is>
          <t>Session ID is regenerated and the pre-login session invalidated immediately after successful authentication</t>
        </is>
      </c>
      <c r="D9" t="inlineStr" s="12">
        <is>
          <t>150129 Insufficient Session Protection/Regeneration</t>
        </is>
      </c>
      <c r="E9" t="inlineStr" s="12">
        <is>
          <t>Confirmed - Level 2</t>
        </is>
      </c>
      <c r="F9" s="11"/>
      <c r="G9" s="11"/>
      <c r="H9" s="11"/>
    </row>
    <row r="10">
      <c r="A10" s="13">
        <v>9</v>
      </c>
      <c r="B10" t="inlineStr" s="11">
        <is>
          <t>Session &amp; Cookies</t>
        </is>
      </c>
      <c r="C10" t="inlineStr" s="12">
        <is>
          <t>Session IDs generated with a CSPRNG of at least 128 bits and unique per session</t>
        </is>
      </c>
      <c r="D10" t="inlineStr" s="12">
        <is>
          <t>150319 Weak Cookies in Use</t>
        </is>
      </c>
      <c r="E10" t="inlineStr" s="12">
        <is>
          <t>Info Gathered - Level 2</t>
        </is>
      </c>
      <c r="F10" s="11"/>
      <c r="G10" s="11"/>
      <c r="H10" s="11"/>
    </row>
    <row r="11">
      <c r="A11" s="13">
        <v>10</v>
      </c>
      <c r="B11" t="inlineStr" s="11">
        <is>
          <t>Session &amp; Cookies</t>
        </is>
      </c>
      <c r="C11" t="inlineStr" s="12">
        <is>
          <t>No credentials, tokens or personal data persisted in localStorage or sessionStorage</t>
        </is>
      </c>
      <c r="D11" t="inlineStr" s="12">
        <is>
          <t>150806 Local Storage or Session Storage Found</t>
        </is>
      </c>
      <c r="E11" t="inlineStr" s="12">
        <is>
          <t>Info Gathered - Level 1</t>
        </is>
      </c>
      <c r="F11" s="11"/>
      <c r="G11" s="11"/>
      <c r="H11" s="11"/>
    </row>
    <row r="12">
      <c r="A12" s="13">
        <v>11</v>
      </c>
      <c r="B12" t="inlineStr" s="11">
        <is>
          <t>Authentication &amp; Credentials</t>
        </is>
      </c>
      <c r="C12" t="inlineStr" s="12">
        <is>
          <t>Passwords appear only in the authentication request; never reflected, echoed or reused in any other request or response</t>
        </is>
      </c>
      <c r="D12" t="inlineStr" s="12">
        <is>
          <t>150052 Password present in HTTP traffic unrelated to the login page</t>
        </is>
      </c>
      <c r="E12" t="inlineStr" s="12">
        <is>
          <t>Potential - Level 5</t>
        </is>
      </c>
      <c r="F12" s="11"/>
      <c r="G12" s="11"/>
      <c r="H12" s="11"/>
    </row>
    <row r="13">
      <c r="A13" s="13">
        <v>12</v>
      </c>
      <c r="B13" t="inlineStr" s="11">
        <is>
          <t>Authentication &amp; Credentials</t>
        </is>
      </c>
      <c r="C13" t="inlineStr" s="12">
        <is>
          <t>Passwords stored using a salted strong hash (PBKDF2 or equivalent); strong pseudo-random token used wherever a credential would travel outside authentication</t>
        </is>
      </c>
      <c r="D13" t="inlineStr" s="12">
        <is>
          <t>150052</t>
        </is>
      </c>
      <c r="E13" t="inlineStr" s="12">
        <is>
          <t>Potential - Level 5</t>
        </is>
      </c>
      <c r="F13" s="11"/>
      <c r="G13" s="11"/>
      <c r="H13" s="11"/>
    </row>
    <row r="14">
      <c r="A14" s="13">
        <v>13</v>
      </c>
      <c r="B14" t="inlineStr" s="11">
        <is>
          <t>Authentication &amp; Credentials</t>
        </is>
      </c>
      <c r="C14" t="inlineStr" s="12">
        <is>
          <t>Any form containing a password field is served exclusively over HTTPS</t>
        </is>
      </c>
      <c r="D14" t="inlineStr" s="12">
        <is>
          <t>150150 HTML form containing password field(s) served over HTTP</t>
        </is>
      </c>
      <c r="E14" t="inlineStr" s="12">
        <is>
          <t>Confirmed - Level 3</t>
        </is>
      </c>
      <c r="F14" s="11"/>
      <c r="G14" s="11"/>
      <c r="H14" s="11"/>
    </row>
    <row r="15">
      <c r="A15" s="13">
        <v>14</v>
      </c>
      <c r="B15" t="inlineStr" s="11">
        <is>
          <t>Authentication &amp; Credentials</t>
        </is>
      </c>
      <c r="C15" t="inlineStr" s="12">
        <is>
          <t>Brute-force protection implemented (lockout after 3-5 failed attempts with a defined unlock path)</t>
        </is>
      </c>
      <c r="D15" t="inlineStr" s="12">
        <is>
          <t>150837 Missing Brute Force Protection Mechanism</t>
        </is>
      </c>
      <c r="E15" t="inlineStr" s="12">
        <is>
          <t>Info Gathered - Level 1</t>
        </is>
      </c>
      <c r="F15" s="11"/>
      <c r="G15" s="11"/>
      <c r="H15" s="11"/>
    </row>
    <row r="16">
      <c r="A16" s="13">
        <v>15</v>
      </c>
      <c r="B16" t="inlineStr" s="11">
        <is>
          <t>Authentication &amp; Credentials</t>
        </is>
      </c>
      <c r="C16" t="inlineStr" s="12">
        <is>
          <t>Sensitive form fields set autocomplete=off, and the application enforces strong password rules</t>
        </is>
      </c>
      <c r="D16" t="inlineStr" s="12">
        <is>
          <t>150112 Sensitive form field has not disabled autocomplete</t>
        </is>
      </c>
      <c r="E16" t="inlineStr" s="12">
        <is>
          <t>Confirmed - Level 2</t>
        </is>
      </c>
      <c r="F16" s="11"/>
      <c r="G16" s="11"/>
      <c r="H16" s="11"/>
    </row>
    <row r="17">
      <c r="A17" s="13">
        <v>16</v>
      </c>
      <c r="B17" t="inlineStr" s="11">
        <is>
          <t>Data Protection</t>
        </is>
      </c>
      <c r="C17" t="inlineStr" s="12">
        <is>
          <t>API and page responses mask card numbers, identity numbers and other PII by default; masking is done server-side, not in the browser</t>
        </is>
      </c>
      <c r="D17" t="inlineStr" s="12">
        <is>
          <t>150602 Credit Card Number Pattern Identified In HTML; 150375 PII Fields Found</t>
        </is>
      </c>
      <c r="E17" t="inlineStr" s="12">
        <is>
          <t>Potential - Level 3 (24 instances)</t>
        </is>
      </c>
      <c r="F17" s="11"/>
      <c r="G17" s="11"/>
      <c r="H17" s="11"/>
    </row>
    <row r="18">
      <c r="A18" s="13">
        <v>17</v>
      </c>
      <c r="B18" t="inlineStr" s="11">
        <is>
          <t>Data Protection</t>
        </is>
      </c>
      <c r="C18" t="inlineStr" s="12">
        <is>
          <t>Test and demo data contain no checksum-valid credit card numbers or real personal data</t>
        </is>
      </c>
      <c r="D18" t="inlineStr" s="12">
        <is>
          <t>150602</t>
        </is>
      </c>
      <c r="E18" t="inlineStr" s="12">
        <is>
          <t>Potential - Level 3</t>
        </is>
      </c>
      <c r="F18" s="11"/>
      <c r="G18" s="11"/>
      <c r="H18" s="11"/>
    </row>
    <row r="19">
      <c r="A19" s="13">
        <v>18</v>
      </c>
      <c r="B19" t="inlineStr" s="11">
        <is>
          <t>Data Protection</t>
        </is>
      </c>
      <c r="C19" t="inlineStr" s="12">
        <is>
          <t>Server, X-Powered-By, X-AspNetVersion, X-AspNetMvcVersion and equivalent fingerprinting headers are removed</t>
        </is>
      </c>
      <c r="D19" t="inlineStr" s="12">
        <is>
          <t>150210 Information Disclosure via Response Header</t>
        </is>
      </c>
      <c r="E19" t="inlineStr" s="12">
        <is>
          <t>Info Gathered - Level 3</t>
        </is>
      </c>
      <c r="F19" s="11"/>
      <c r="G19" s="11"/>
      <c r="H19" s="11"/>
    </row>
    <row r="20">
      <c r="A20" s="13">
        <v>19</v>
      </c>
      <c r="B20" t="inlineStr" s="11">
        <is>
          <t>Data Protection</t>
        </is>
      </c>
      <c r="C20" t="inlineStr" s="12">
        <is>
          <t>No backup files, configuration files, directory listings or other guessable resources reachable by forced browsing</t>
        </is>
      </c>
      <c r="D20" t="inlineStr" s="12">
        <is>
          <t>150004 Predictable Resource Location Via Forced Browsing</t>
        </is>
      </c>
      <c r="E20" t="inlineStr" s="12">
        <is>
          <t>Confirmed - Level 2</t>
        </is>
      </c>
      <c r="F20" s="11"/>
      <c r="G20" s="11"/>
      <c r="H20" s="11"/>
    </row>
    <row r="21">
      <c r="A21" s="13">
        <v>20</v>
      </c>
      <c r="B21" t="inlineStr" s="11">
        <is>
          <t>Security Headers</t>
        </is>
      </c>
      <c r="C21" t="inlineStr" s="12">
        <is>
          <t>Content-Security-Policy implemented, including frame-ancestors 'self'</t>
        </is>
      </c>
      <c r="D21" t="inlineStr" s="12">
        <is>
          <t>150206; 531006; 150082</t>
        </is>
      </c>
      <c r="E21" t="inlineStr" s="12">
        <is>
          <t>Info Gathered - Level 2</t>
        </is>
      </c>
      <c r="F21" s="11"/>
      <c r="G21" s="11"/>
      <c r="H21" s="11"/>
    </row>
    <row r="22">
      <c r="A22" s="13">
        <v>21</v>
      </c>
      <c r="B22" t="inlineStr" s="11">
        <is>
          <t>Security Headers</t>
        </is>
      </c>
      <c r="C22" t="inlineStr" s="12">
        <is>
          <t>X-Content-Type-Options: nosniff, Referrer-Policy, Permissions-Policy and X-Frame-Options all present</t>
        </is>
      </c>
      <c r="D22" t="inlineStr" s="12">
        <is>
          <t>150202; 150208; 150248; 150245</t>
        </is>
      </c>
      <c r="E22" t="inlineStr" s="12">
        <is>
          <t>Info Gathered - Level 2</t>
        </is>
      </c>
      <c r="F22" s="11"/>
      <c r="G22" s="11"/>
      <c r="H22" s="11"/>
    </row>
    <row r="23">
      <c r="A23" s="13">
        <v>22</v>
      </c>
      <c r="B23" t="inlineStr" s="11">
        <is>
          <t>Security Headers</t>
        </is>
      </c>
      <c r="C23" t="inlineStr" s="12">
        <is>
          <t>Sensitive pages and API responses use Cache-Control: no-store, private; no sensitive resource is public or has max-age above 86400</t>
        </is>
      </c>
      <c r="D23" t="inlineStr" s="12">
        <is>
          <t>150249 Misconfigured Header: Cache-Control</t>
        </is>
      </c>
      <c r="E23" t="inlineStr" s="12">
        <is>
          <t>Info Gathered - Level 2</t>
        </is>
      </c>
      <c r="F23" s="11"/>
      <c r="G23" s="11"/>
      <c r="H23" s="11"/>
    </row>
    <row r="24">
      <c r="A24" s="13">
        <v>23</v>
      </c>
      <c r="B24" t="inlineStr" s="11">
        <is>
          <t>Injection &amp; Output Encoding</t>
        </is>
      </c>
      <c r="C24" t="inlineStr" s="12">
        <is>
          <t>All reflected output encoded according to its output context (HTML text node, attribute, URL, JavaScript, JSON)</t>
        </is>
      </c>
      <c r="D24" t="inlineStr" s="12">
        <is>
          <t>150084 Unencoded characters (CWE-79, OWASP A05:2025 Injection)</t>
        </is>
      </c>
      <c r="E24" t="inlineStr" s="12">
        <is>
          <t>Potential - Level 1</t>
        </is>
      </c>
      <c r="F24" s="11"/>
      <c r="G24" s="11"/>
      <c r="H24" s="11"/>
    </row>
    <row r="25">
      <c r="A25" s="13">
        <v>24</v>
      </c>
      <c r="B25" t="inlineStr" s="11">
        <is>
          <t>Injection &amp; Output Encoding</t>
        </is>
      </c>
      <c r="C25" t="inlineStr" s="12">
        <is>
          <t>Redirect and callback parameters (callbackUrl, returnUrl) validated against an allow-list</t>
        </is>
      </c>
      <c r="D25" t="inlineStr" s="12">
        <is>
          <t>150084 (callbackUrl parameter)</t>
        </is>
      </c>
      <c r="E25" t="inlineStr" s="12">
        <is>
          <t>Potential - Level 1</t>
        </is>
      </c>
      <c r="F25" s="11"/>
      <c r="G25" s="11"/>
      <c r="H25" s="11"/>
    </row>
    <row r="26">
      <c r="A26" s="13">
        <v>25</v>
      </c>
      <c r="B26" t="inlineStr" s="11">
        <is>
          <t>Injection &amp; Output Encoding</t>
        </is>
      </c>
      <c r="C26" t="inlineStr" s="12">
        <is>
          <t>Client-side code avoids dangerous sinks (innerHTML, eval, document.write) and untrusted source-to-sink paths</t>
        </is>
      </c>
      <c r="D26" t="inlineStr" s="12">
        <is>
          <t>150938 Possible DOM XSS</t>
        </is>
      </c>
      <c r="E26" t="inlineStr" s="12">
        <is>
          <t>Info Gathered - Level 1</t>
        </is>
      </c>
      <c r="F26" s="11"/>
      <c r="G26" s="11"/>
      <c r="H26" s="11"/>
    </row>
    <row r="27">
      <c r="A27" s="13">
        <v>26</v>
      </c>
      <c r="B27" t="inlineStr" s="11">
        <is>
          <t>Dependencies &amp; Platform</t>
        </is>
      </c>
      <c r="C27" t="inlineStr" s="12">
        <is>
          <t>External domains and third-party scripts inventoried and minimised; SRI applied; CSP script-src and connect-src allow-listed</t>
        </is>
      </c>
      <c r="D27" t="inlineStr" s="12">
        <is>
          <t>150845; 150176; 150608</t>
        </is>
      </c>
      <c r="E27" t="inlineStr" s="12">
        <is>
          <t>Info Gathered - Level 1</t>
        </is>
      </c>
      <c r="F27" s="11"/>
      <c r="G27" s="11"/>
      <c r="H27" s="11"/>
    </row>
    <row r="28">
      <c r="A28" s="13">
        <v>27</v>
      </c>
      <c r="B28" t="inlineStr" s="11">
        <is>
          <t>Dependencies &amp; Platform</t>
        </is>
      </c>
      <c r="C28" t="inlineStr" s="12">
        <is>
          <t>Platform components, runtimes and libraries on supported patched versions; externally exposed ports reviewed as part of IaC review</t>
        </is>
      </c>
      <c r="D28" t="inlineStr" s="12">
        <is>
          <t>http-iis-0035 (CVE-1999-0867 / MS99-029)</t>
        </is>
      </c>
      <c r="E28" t="inlineStr" s="12">
        <is>
          <t>Severe</t>
        </is>
      </c>
      <c r="F28" s="11"/>
      <c r="G28" s="11"/>
      <c r="H28" s="11"/>
    </row>
    <row r="29">
      <c r="A29" s="13">
        <v>28</v>
      </c>
      <c r="B29" t="inlineStr" s="11">
        <is>
          <t>Dependencies &amp; Platform</t>
        </is>
      </c>
      <c r="C29" t="inlineStr" s="12">
        <is>
          <t>Security scan run against the feature branch; no new Confirmed Vulnerability at Level 3 or above introduced</t>
        </is>
      </c>
      <c r="D29" t="inlineStr" s="12">
        <is>
          <t>All</t>
        </is>
      </c>
      <c r="E29" t="inlineStr" s="12">
        <is>
          <t>Gate</t>
        </is>
      </c>
      <c r="F29" s="11"/>
      <c r="G29" s="11"/>
      <c r="H29" s="11"/>
    </row>
  </sheetData>
  <conditionalFormatting sqref="G2:G29">
    <cfRule type="containsText" dxfId="0" priority="1" text="Done">
      <formula>NOT(ISERROR(SEARCH("Done",G2)))</formula>
    </cfRule>
  </conditionalFormatting>
  <conditionalFormatting sqref="G2:G29">
    <cfRule type="containsText" dxfId="1" priority="2" text="Not Started">
      <formula>NOT(ISERROR(SEARCH("Not Started",G2)))</formula>
    </cfRule>
  </conditionalFormatting>
  <conditionalFormatting sqref="E2:E29">
    <cfRule type="containsText" dxfId="2" priority="3" text="Level 5">
      <formula>NOT(ISERROR(SEARCH("Level 5",E2)))</formula>
    </cfRule>
  </conditionalFormatting>
  <conditionalFormatting sqref="E2:E29">
    <cfRule type="containsText" dxfId="3" priority="4" text="Severe">
      <formula>NOT(ISERROR(SEARCH("Severe",E2)))</formula>
    </cfRule>
  </conditionalFormatting>
  <dataValidations count="1">
    <dataValidation type="list" sqref="G2:G29" operator="between" prompt="Select the current status for this checkpoint." error="Choose one of: Not Started, In Progress, Done, N/A." showInputMessage="1" showErrorMessage="1">
      <formula1>"Not Started,In Progress,Done,N/A"</formula1>
    </dataValidation>
  </dataValidations>
  <tableParts count="1">
    <tablePart n0:id="rId1"/>
  </tableParts>
</worksheet>
</file>

<file path=xl/worksheets/sheet3.xml><?xml version="1.0" encoding="utf-8"?>
<worksheet xmlns="http://schemas.openxmlformats.org/spreadsheetml/2006/main" xmlns:n0="http://schemas.openxmlformats.org/officeDocument/2006/relationships">
  <sheetViews>
    <sheetView workbookViewId="0">
      <pane xSplit="1" ySplit="1" topLeftCell="B2" activePane="bottomRight" state="frozen"/>
    </sheetView>
  </sheetViews>
  <cols>
    <col min="1" max="1" width="34" customWidth="1"/>
    <col min="2" max="2" width="56" customWidth="1"/>
    <col min="3" max="3" width="16" customWidth="1"/>
    <col min="4" max="4" width="30" customWidth="1"/>
    <col min="5" max="5" width="10" customWidth="1"/>
    <col min="6" max="6" width="26" customWidth="1"/>
    <col min="7" max="7" width="70" customWidth="1"/>
  </cols>
  <sheetData>
    <row r="1">
      <c r="A1" t="inlineStr" s="14">
        <is>
          <t>ID</t>
        </is>
      </c>
      <c r="B1" t="inlineStr" s="14">
        <is>
          <t>Finding</t>
        </is>
      </c>
      <c r="C1" t="inlineStr" s="14">
        <is>
          <t>Source Report</t>
        </is>
      </c>
      <c r="D1" t="inlineStr" s="14">
        <is>
          <t>Severity</t>
        </is>
      </c>
      <c r="E1" t="inlineStr" s="14">
        <is>
          <t>Instances</t>
        </is>
      </c>
      <c r="F1" t="inlineStr" s="14">
        <is>
          <t>Risk Category</t>
        </is>
      </c>
      <c r="G1" t="inlineStr" s="14">
        <is>
          <t>Remediation Stated In Report</t>
        </is>
      </c>
    </row>
    <row r="2">
      <c r="A2" t="inlineStr" s="14">
        <is>
          <t>150052</t>
        </is>
      </c>
      <c r="B2" t="inlineStr" s="15">
        <is>
          <t>Password is present in HTTP traffic unrelated to the login page</t>
        </is>
      </c>
      <c r="C2" t="inlineStr" s="14">
        <is>
          <t>Web (Qualys)</t>
        </is>
      </c>
      <c r="D2" t="inlineStr" s="14">
        <is>
          <t>Potential Vulnerability - Level 5</t>
        </is>
      </c>
      <c r="E2" s="17">
        <v>1</v>
      </c>
      <c r="F2" t="inlineStr" s="14">
        <is>
          <t>Authentication &amp; Credentials</t>
        </is>
      </c>
      <c r="G2" t="inlineStr" s="16">
        <is>
          <t>Transfer the password only during authentication; store hashed with salt or PBKDF2; use a strong pseudo-random token elsewhere; use HTTPS/HSTS for all authenticated traffic</t>
        </is>
      </c>
    </row>
    <row r="3">
      <c r="A3" t="inlineStr" s="14">
        <is>
          <t>150120</t>
        </is>
      </c>
      <c r="B3" t="inlineStr" s="15">
        <is>
          <t>Session Cookie (Authentication Related) Does Not Contain The secure Attribute</t>
        </is>
      </c>
      <c r="C3" t="inlineStr" s="14">
        <is>
          <t>Web (Qualys)</t>
        </is>
      </c>
      <c r="D3" t="inlineStr" s="14">
        <is>
          <t>Confirmed Vulnerability - Level 3</t>
        </is>
      </c>
      <c r="E3" s="17">
        <v>1</v>
      </c>
      <c r="F3" t="inlineStr" s="14">
        <is>
          <t>Session &amp; Cookies</t>
        </is>
      </c>
      <c r="G3" t="inlineStr" s="16">
        <is>
          <t>Apply the secure attribute to session cookies and force all sensitive requests over HTTPS</t>
        </is>
      </c>
    </row>
    <row r="4">
      <c r="A4" t="inlineStr" s="14">
        <is>
          <t>150121</t>
        </is>
      </c>
      <c r="B4" t="inlineStr" s="15">
        <is>
          <t>Session Cookie (Authentication Related) Does Not Contain The HTTPOnly Attribute</t>
        </is>
      </c>
      <c r="C4" t="inlineStr" s="14">
        <is>
          <t>Web (Qualys)</t>
        </is>
      </c>
      <c r="D4" t="inlineStr" s="14">
        <is>
          <t>Confirmed Vulnerability - Level 3</t>
        </is>
      </c>
      <c r="E4" s="17">
        <v>1</v>
      </c>
      <c r="F4" t="inlineStr" s="14">
        <is>
          <t>Session &amp; Cookies</t>
        </is>
      </c>
      <c r="G4" t="inlineStr" s="16">
        <is>
          <t>Apply the HTTPOnly attribute to session cookies</t>
        </is>
      </c>
    </row>
    <row r="5">
      <c r="A5" t="inlineStr" s="14">
        <is>
          <t>150150</t>
        </is>
      </c>
      <c r="B5" t="inlineStr" s="15">
        <is>
          <t>HTML form containing password field(s) is served over HTTP</t>
        </is>
      </c>
      <c r="C5" t="inlineStr" s="14">
        <is>
          <t>Web (Qualys)</t>
        </is>
      </c>
      <c r="D5" t="inlineStr" s="14">
        <is>
          <t>Confirmed Vulnerability - Level 3</t>
        </is>
      </c>
      <c r="E5" s="17">
        <v>3</v>
      </c>
      <c r="F5" t="inlineStr" s="14">
        <is>
          <t>Transport &amp; Certificates</t>
        </is>
      </c>
      <c r="G5" t="inlineStr" s="16">
        <is>
          <t>Ensure HTML forms containing password fields are always served over HTTPS only (CWE-523)</t>
        </is>
      </c>
    </row>
    <row r="6">
      <c r="A6" t="inlineStr" s="14">
        <is>
          <t>150263</t>
        </is>
      </c>
      <c r="B6" t="inlineStr" s="15">
        <is>
          <t>Insecure Transport</t>
        </is>
      </c>
      <c r="C6" t="inlineStr" s="14">
        <is>
          <t>Web (Qualys)</t>
        </is>
      </c>
      <c r="D6" t="inlineStr" s="14">
        <is>
          <t>Confirmed Vulnerability - Level 3</t>
        </is>
      </c>
      <c r="E6" s="17">
        <v>1</v>
      </c>
      <c r="F6" t="inlineStr" s="14">
        <is>
          <t>Transport &amp; Certificates</t>
        </is>
      </c>
      <c r="G6" t="inlineStr" s="16">
        <is>
          <t>Listen and respond only to HTTPS; otherwise redirect with 301/302; add HSTS</t>
        </is>
      </c>
    </row>
    <row r="7">
      <c r="A7" t="inlineStr" s="14">
        <is>
          <t>150602</t>
        </is>
      </c>
      <c r="B7" t="inlineStr" s="15">
        <is>
          <t>Credit Card Number Pattern Identified In HTML</t>
        </is>
      </c>
      <c r="C7" t="inlineStr" s="14">
        <is>
          <t>Web (Qualys)</t>
        </is>
      </c>
      <c r="D7" t="inlineStr" s="14">
        <is>
          <t>Potential Vulnerability - Level 3</t>
        </is>
      </c>
      <c r="E7" s="17">
        <v>24</v>
      </c>
      <c r="F7" t="inlineStr" s="14">
        <is>
          <t>Data Protection</t>
        </is>
      </c>
      <c r="G7" t="inlineStr" s="16">
        <is>
          <t>Review the content to determine whether it could be masked or removed</t>
        </is>
      </c>
    </row>
    <row r="8">
      <c r="A8" t="inlineStr" s="14">
        <is>
          <t>150004</t>
        </is>
      </c>
      <c r="B8" t="inlineStr" s="15">
        <is>
          <t>Predictable Resource Location Via Forced Browsing</t>
        </is>
      </c>
      <c r="C8" t="inlineStr" s="14">
        <is>
          <t>Web (Qualys)</t>
        </is>
      </c>
      <c r="D8" t="inlineStr" s="14">
        <is>
          <t>Confirmed Vulnerability - Level 2</t>
        </is>
      </c>
      <c r="E8" s="17">
        <v>3</v>
      </c>
      <c r="F8" t="inlineStr" s="14">
        <is>
          <t>Data Protection</t>
        </is>
      </c>
      <c r="G8" t="inlineStr" s="16">
        <is>
          <t>Review the disclosed files; remove them or apply access controls</t>
        </is>
      </c>
    </row>
    <row r="9">
      <c r="A9" t="inlineStr" s="14">
        <is>
          <t>150112</t>
        </is>
      </c>
      <c r="B9" t="inlineStr" s="15">
        <is>
          <t>Sensitive form field has not disabled autocomplete</t>
        </is>
      </c>
      <c r="C9" t="inlineStr" s="14">
        <is>
          <t>Web (Qualys)</t>
        </is>
      </c>
      <c r="D9" t="inlineStr" s="14">
        <is>
          <t>Confirmed Vulnerability - Level 2</t>
        </is>
      </c>
      <c r="E9" s="17">
        <v>2</v>
      </c>
      <c r="F9" t="inlineStr" s="14">
        <is>
          <t>Authentication &amp; Credentials</t>
        </is>
      </c>
      <c r="G9" t="inlineStr" s="16">
        <is>
          <t>Add autocomplete=off to the form or input element; enforce strong password rules in the application</t>
        </is>
      </c>
    </row>
    <row r="10">
      <c r="A10" t="inlineStr" s="14">
        <is>
          <t>150122</t>
        </is>
      </c>
      <c r="B10" t="inlineStr" s="15">
        <is>
          <t>Cookie Does Not Contain The secure Attribute</t>
        </is>
      </c>
      <c r="C10" t="inlineStr" s="14">
        <is>
          <t>Web (Qualys)</t>
        </is>
      </c>
      <c r="D10" t="inlineStr" s="14">
        <is>
          <t>Confirmed Vulnerability - Level 2</t>
        </is>
      </c>
      <c r="E10" s="17">
        <v>2</v>
      </c>
      <c r="F10" t="inlineStr" s="14">
        <is>
          <t>Session &amp; Cookies</t>
        </is>
      </c>
      <c r="G10" t="inlineStr" s="16">
        <is>
          <t>Apply the secure attribute to cookies and force all sensitive requests over HTTPS</t>
        </is>
      </c>
    </row>
    <row r="11">
      <c r="A11" t="inlineStr" s="14">
        <is>
          <t>150123</t>
        </is>
      </c>
      <c r="B11" t="inlineStr" s="15">
        <is>
          <t>Cookie Does Not Contain The HTTPOnly Attribute</t>
        </is>
      </c>
      <c r="C11" t="inlineStr" s="14">
        <is>
          <t>Web (Qualys)</t>
        </is>
      </c>
      <c r="D11" t="inlineStr" s="14">
        <is>
          <t>Confirmed Vulnerability - Level 2</t>
        </is>
      </c>
      <c r="E11" s="17">
        <v>2</v>
      </c>
      <c r="F11" t="inlineStr" s="14">
        <is>
          <t>Session &amp; Cookies</t>
        </is>
      </c>
      <c r="G11" t="inlineStr" s="16">
        <is>
          <t>Apply the HTTPOnly attribute to cookies</t>
        </is>
      </c>
    </row>
    <row r="12">
      <c r="A12" t="inlineStr" s="14">
        <is>
          <t>150129</t>
        </is>
      </c>
      <c r="B12" t="inlineStr" s="15">
        <is>
          <t>Insufficient Session Protection/Regeneration</t>
        </is>
      </c>
      <c r="C12" t="inlineStr" s="14">
        <is>
          <t>Web (Qualys)</t>
        </is>
      </c>
      <c r="D12" t="inlineStr" s="14">
        <is>
          <t>Confirmed Vulnerability - Level 2</t>
        </is>
      </c>
      <c r="E12" s="17">
        <v>1</v>
      </c>
      <c r="F12" t="inlineStr" s="14">
        <is>
          <t>Session &amp; Cookies</t>
        </is>
      </c>
      <c r="G12" t="inlineStr" s="16">
        <is>
          <t>Invalidate the session after successful authentication and regenerate the session ID value</t>
        </is>
      </c>
    </row>
    <row r="13">
      <c r="A13" t="inlineStr" s="14">
        <is>
          <t>150084</t>
        </is>
      </c>
      <c r="B13" t="inlineStr" s="15">
        <is>
          <t>Unencoded characters (CWE-79, OWASP A05:2025 Injection, WASC-22)</t>
        </is>
      </c>
      <c r="C13" t="inlineStr" s="14">
        <is>
          <t>Web (Qualys)</t>
        </is>
      </c>
      <c r="D13" t="inlineStr" s="14">
        <is>
          <t>Potential Vulnerability - Level 1</t>
        </is>
      </c>
      <c r="E13" s="17">
        <v>4</v>
      </c>
      <c r="F13" t="inlineStr" s="14">
        <is>
          <t>Injection &amp; Output Encoding</t>
        </is>
      </c>
      <c r="G13" t="inlineStr" s="16">
        <is>
          <t>Apply HTML encoding or percent encoding depending on where the value is placed in the HTML</t>
        </is>
      </c>
    </row>
    <row r="14">
      <c r="A14" t="inlineStr" s="14">
        <is>
          <t>150210</t>
        </is>
      </c>
      <c r="B14" t="inlineStr" s="15">
        <is>
          <t>Information Disclosure via Response Header</t>
        </is>
      </c>
      <c r="C14" t="inlineStr" s="14">
        <is>
          <t>Web (Qualys)</t>
        </is>
      </c>
      <c r="D14" t="inlineStr" s="14">
        <is>
          <t>Information Gathered - Level 3</t>
        </is>
      </c>
      <c r="E14" s="17">
        <v>2</v>
      </c>
      <c r="F14" t="inlineStr" s="14">
        <is>
          <t>Data Protection</t>
        </is>
      </c>
      <c r="G14" t="inlineStr" s="16">
        <is>
          <t>Disable or remove Server, X-Powered-By, X-AspNetVersion and X-AspNetMvcVersion headers</t>
        </is>
      </c>
    </row>
    <row r="15">
      <c r="A15" t="inlineStr" s="14">
        <is>
          <t>150202</t>
        </is>
      </c>
      <c r="B15" t="inlineStr" s="15">
        <is>
          <t>Missing header: X-Content-Type-Options</t>
        </is>
      </c>
      <c r="C15" t="inlineStr" s="14">
        <is>
          <t>Web (Qualys)</t>
        </is>
      </c>
      <c r="D15" t="inlineStr" s="14">
        <is>
          <t>Information Gathered - Level 2</t>
        </is>
      </c>
      <c r="E15" s="17">
        <v>1</v>
      </c>
      <c r="F15" t="inlineStr" s="14">
        <is>
          <t>Security Headers</t>
        </is>
      </c>
      <c r="G15" t="inlineStr" s="16">
        <is>
          <t>Add the X-Content-Type-Options: nosniff response header</t>
        </is>
      </c>
    </row>
    <row r="16">
      <c r="A16" t="inlineStr" s="14">
        <is>
          <t>150206</t>
        </is>
      </c>
      <c r="B16" t="inlineStr" s="15">
        <is>
          <t>Content-Security-Policy Not Implemented</t>
        </is>
      </c>
      <c r="C16" t="inlineStr" s="14">
        <is>
          <t>Web (Qualys)</t>
        </is>
      </c>
      <c r="D16" t="inlineStr" s="14">
        <is>
          <t>Information Gathered - Level 2</t>
        </is>
      </c>
      <c r="E16" s="17">
        <v>2</v>
      </c>
      <c r="F16" t="inlineStr" s="14">
        <is>
          <t>Security Headers</t>
        </is>
      </c>
      <c r="G16" t="inlineStr" s="16">
        <is>
          <t>Implement a Content-Security-Policy, including frame-ancestors self</t>
        </is>
      </c>
    </row>
    <row r="17">
      <c r="A17" t="inlineStr" s="14">
        <is>
          <t>150208</t>
        </is>
      </c>
      <c r="B17" t="inlineStr" s="15">
        <is>
          <t>Missing header: Referrer-Policy</t>
        </is>
      </c>
      <c r="C17" t="inlineStr" s="14">
        <is>
          <t>Web (Qualys)</t>
        </is>
      </c>
      <c r="D17" t="inlineStr" s="14">
        <is>
          <t>Information Gathered - Level 2</t>
        </is>
      </c>
      <c r="E17" s="17">
        <v>1</v>
      </c>
      <c r="F17" t="inlineStr" s="14">
        <is>
          <t>Security Headers</t>
        </is>
      </c>
      <c r="G17" t="inlineStr" s="16">
        <is>
          <t>Add a Referrer-Policy response header</t>
        </is>
      </c>
    </row>
    <row r="18">
      <c r="A18" t="inlineStr" s="14">
        <is>
          <t>150248</t>
        </is>
      </c>
      <c r="B18" t="inlineStr" s="15">
        <is>
          <t>Missing header: Permissions-Policy</t>
        </is>
      </c>
      <c r="C18" t="inlineStr" s="14">
        <is>
          <t>Web (Qualys)</t>
        </is>
      </c>
      <c r="D18" t="inlineStr" s="14">
        <is>
          <t>Information Gathered - Level 2</t>
        </is>
      </c>
      <c r="E18" s="17">
        <v>1</v>
      </c>
      <c r="F18" t="inlineStr" s="14">
        <is>
          <t>Security Headers</t>
        </is>
      </c>
      <c r="G18" t="inlineStr" s="16">
        <is>
          <t>Add a Permissions-Policy response header</t>
        </is>
      </c>
    </row>
    <row r="19">
      <c r="A19" t="inlineStr" s="14">
        <is>
          <t>150249</t>
        </is>
      </c>
      <c r="B19" t="inlineStr" s="15">
        <is>
          <t>Misconfigured Header: Cache-Control</t>
        </is>
      </c>
      <c r="C19" t="inlineStr" s="14">
        <is>
          <t>Web (Qualys)</t>
        </is>
      </c>
      <c r="D19" t="inlineStr" s="14">
        <is>
          <t>Information Gathered - Level 2</t>
        </is>
      </c>
      <c r="E19" s="17">
        <v>2</v>
      </c>
      <c r="F19" t="inlineStr" s="14">
        <is>
          <t>Security Headers</t>
        </is>
      </c>
      <c r="G19" t="inlineStr" s="16">
        <is>
          <t>Do not set public on sensitive resources; keep max-age no longer than needed (finding triggers above 86400)</t>
        </is>
      </c>
    </row>
    <row r="20">
      <c r="A20" t="inlineStr" s="14">
        <is>
          <t>150319</t>
        </is>
      </c>
      <c r="B20" t="inlineStr" s="15">
        <is>
          <t>Weak Cookies in Use</t>
        </is>
      </c>
      <c r="C20" t="inlineStr" s="14">
        <is>
          <t>Web (Qualys)</t>
        </is>
      </c>
      <c r="D20" t="inlineStr" s="14">
        <is>
          <t>Information Gathered - Level 2</t>
        </is>
      </c>
      <c r="E20" s="17">
        <v>2</v>
      </c>
      <c r="F20" t="inlineStr" s="14">
        <is>
          <t>Session &amp; Cookies</t>
        </is>
      </c>
      <c r="G20" t="inlineStr" s="16">
        <is>
          <t>Use a CSPRNG of at least 128 bits; ensure each session ID is unique; randomise non-session cookie values</t>
        </is>
      </c>
    </row>
    <row r="21">
      <c r="A21" t="inlineStr" s="14">
        <is>
          <t>150375</t>
        </is>
      </c>
      <c r="B21" t="inlineStr" s="15">
        <is>
          <t>PII Fields Found</t>
        </is>
      </c>
      <c r="C21" t="inlineStr" s="14">
        <is>
          <t>Web (Qualys)</t>
        </is>
      </c>
      <c r="D21" t="inlineStr" s="14">
        <is>
          <t>Information Gathered - Level 2</t>
        </is>
      </c>
      <c r="E21" s="17">
        <v>2</v>
      </c>
      <c r="F21" t="inlineStr" s="14">
        <is>
          <t>Data Protection</t>
        </is>
      </c>
      <c r="G21" t="inlineStr" s="16">
        <is>
          <t>Review all PII fields; PII should be obtained by lawful and fair means</t>
        </is>
      </c>
    </row>
    <row r="22">
      <c r="A22" t="inlineStr" s="14">
        <is>
          <t>150019</t>
        </is>
      </c>
      <c r="B22" t="inlineStr" s="15">
        <is>
          <t>Server Returned Unexpected Response</t>
        </is>
      </c>
      <c r="C22" t="inlineStr" s="14">
        <is>
          <t>Web (Qualys)</t>
        </is>
      </c>
      <c r="D22" t="inlineStr" s="14">
        <is>
          <t>Information Gathered - Level 2</t>
        </is>
      </c>
      <c r="E22" s="17">
        <v>2</v>
      </c>
      <c r="F22" t="inlineStr" s="14">
        <is>
          <t>Error Handling</t>
        </is>
      </c>
      <c r="G22" t="inlineStr" s="16">
        <is>
          <t>Review unexpected server responses encountered during the scan</t>
        </is>
      </c>
    </row>
    <row r="23">
      <c r="A23" t="inlineStr" s="14">
        <is>
          <t>150082</t>
        </is>
      </c>
      <c r="B23" t="inlineStr" s="15">
        <is>
          <t>Protection against Clickjacking</t>
        </is>
      </c>
      <c r="C23" t="inlineStr" s="14">
        <is>
          <t>Web (Qualys)</t>
        </is>
      </c>
      <c r="D23" t="inlineStr" s="14">
        <is>
          <t>Information Gathered - Level 1</t>
        </is>
      </c>
      <c r="E23" s="17">
        <v>1</v>
      </c>
      <c r="F23" t="inlineStr" s="14">
        <is>
          <t>Security Headers</t>
        </is>
      </c>
      <c r="G23" t="inlineStr" s="16">
        <is>
          <t>Prevent frame embedding via framebusting, X-Frame-Options or CSP frame-ancestors</t>
        </is>
      </c>
    </row>
    <row r="24">
      <c r="A24" t="inlineStr" s="14">
        <is>
          <t>150135</t>
        </is>
      </c>
      <c r="B24" t="inlineStr" s="15">
        <is>
          <t>HTTP Strict Transport Security (HSTS) not implemented</t>
        </is>
      </c>
      <c r="C24" t="inlineStr" s="14">
        <is>
          <t>Web (Qualys)</t>
        </is>
      </c>
      <c r="D24" t="inlineStr" s="14">
        <is>
          <t>Information Gathered - Level 1</t>
        </is>
      </c>
      <c r="E24" s="17">
        <v>1</v>
      </c>
      <c r="F24" t="inlineStr" s="14">
        <is>
          <t>Transport &amp; Certificates</t>
        </is>
      </c>
      <c r="G24" t="inlineStr" s="16">
        <is>
          <t>Issue the Strict-Transport-Security header so browsers use HTTPS only</t>
        </is>
      </c>
    </row>
    <row r="25">
      <c r="A25" t="inlineStr" s="14">
        <is>
          <t>150226</t>
        </is>
      </c>
      <c r="B25" t="inlineStr" s="15">
        <is>
          <t>Pages Collecting Sensitive Information</t>
        </is>
      </c>
      <c r="C25" t="inlineStr" s="14">
        <is>
          <t>Web (Qualys)</t>
        </is>
      </c>
      <c r="D25" t="inlineStr" s="14">
        <is>
          <t>Information Gathered - Level 1</t>
        </is>
      </c>
      <c r="E25" s="17">
        <v>1</v>
      </c>
      <c r="F25" t="inlineStr" s="14">
        <is>
          <t>Data Protection</t>
        </is>
      </c>
      <c r="G25" t="inlineStr" s="16">
        <is>
          <t>Review the pages that collect sensitive information and confirm they are protected</t>
        </is>
      </c>
    </row>
    <row r="26">
      <c r="A26" t="inlineStr" s="14">
        <is>
          <t>150228</t>
        </is>
      </c>
      <c r="B26" t="inlineStr" s="15">
        <is>
          <t>Subdomains Found During Crawling</t>
        </is>
      </c>
      <c r="C26" t="inlineStr" s="14">
        <is>
          <t>Web (Qualys)</t>
        </is>
      </c>
      <c r="D26" t="inlineStr" s="14">
        <is>
          <t>Information Gathered - Level 1</t>
        </is>
      </c>
      <c r="E26" s="17">
        <v>1</v>
      </c>
      <c r="F26" t="inlineStr" s="14">
        <is>
          <t>Attack Surface</t>
        </is>
      </c>
      <c r="G26" t="inlineStr" s="16">
        <is>
          <t>Review discovered subdomains and confirm each is intended to be exposed</t>
        </is>
      </c>
    </row>
    <row r="27">
      <c r="A27" t="inlineStr" s="14">
        <is>
          <t>150245</t>
        </is>
      </c>
      <c r="B27" t="inlineStr" s="15">
        <is>
          <t>Missing header: X-Frame-Options</t>
        </is>
      </c>
      <c r="C27" t="inlineStr" s="14">
        <is>
          <t>Web (Qualys)</t>
        </is>
      </c>
      <c r="D27" t="inlineStr" s="14">
        <is>
          <t>Information Gathered - Level 1</t>
        </is>
      </c>
      <c r="E27" s="17">
        <v>1</v>
      </c>
      <c r="F27" t="inlineStr" s="14">
        <is>
          <t>Security Headers</t>
        </is>
      </c>
      <c r="G27" t="inlineStr" s="16">
        <is>
          <t>Add the X-Frame-Options response header</t>
        </is>
      </c>
    </row>
    <row r="28">
      <c r="A28" t="inlineStr" s="14">
        <is>
          <t>150277</t>
        </is>
      </c>
      <c r="B28" t="inlineStr" s="15">
        <is>
          <t>Cookie without SameSite attribute</t>
        </is>
      </c>
      <c r="C28" t="inlineStr" s="14">
        <is>
          <t>Web (Qualys)</t>
        </is>
      </c>
      <c r="D28" t="inlineStr" s="14">
        <is>
          <t>Information Gathered - Level 1</t>
        </is>
      </c>
      <c r="E28" s="17">
        <v>1</v>
      </c>
      <c r="F28" t="inlineStr" s="14">
        <is>
          <t>Session &amp; Cookies</t>
        </is>
      </c>
      <c r="G28" t="inlineStr" s="16">
        <is>
          <t>Set an explicit SameSite attribute on cookies</t>
        </is>
      </c>
    </row>
    <row r="29">
      <c r="A29" t="inlineStr" s="14">
        <is>
          <t>150608</t>
        </is>
      </c>
      <c r="B29" t="inlineStr" s="15">
        <is>
          <t>Third Party Infrastructure and Tracking</t>
        </is>
      </c>
      <c r="C29" t="inlineStr" s="14">
        <is>
          <t>Web (Qualys)</t>
        </is>
      </c>
      <c r="D29" t="inlineStr" s="14">
        <is>
          <t>Information Gathered - Level 1</t>
        </is>
      </c>
      <c r="E29" s="17">
        <v>1</v>
      </c>
      <c r="F29" t="inlineStr" s="14">
        <is>
          <t>Dependencies &amp; Platform</t>
        </is>
      </c>
      <c r="G29" t="inlineStr" s="16">
        <is>
          <t>Review third-party infrastructure and tracking components in use</t>
        </is>
      </c>
    </row>
    <row r="30">
      <c r="A30" t="inlineStr" s="14">
        <is>
          <t>150806</t>
        </is>
      </c>
      <c r="B30" t="inlineStr" s="15">
        <is>
          <t>Local Storage or Session Storage Found</t>
        </is>
      </c>
      <c r="C30" t="inlineStr" s="14">
        <is>
          <t>Web (Qualys)</t>
        </is>
      </c>
      <c r="D30" t="inlineStr" s="14">
        <is>
          <t>Information Gathered - Level 1</t>
        </is>
      </c>
      <c r="E30" s="17">
        <v>3</v>
      </c>
      <c r="F30" t="inlineStr" s="14">
        <is>
          <t>Session &amp; Cookies</t>
        </is>
      </c>
      <c r="G30" t="inlineStr" s="16">
        <is>
          <t>Review browser storage contents; do not hold credentials, tokens or personal data there</t>
        </is>
      </c>
    </row>
    <row r="31">
      <c r="A31" t="inlineStr" s="14">
        <is>
          <t>150837</t>
        </is>
      </c>
      <c r="B31" t="inlineStr" s="15">
        <is>
          <t>Missing Brute Force Protection Mechanism</t>
        </is>
      </c>
      <c r="C31" t="inlineStr" s="14">
        <is>
          <t>Web (Qualys)</t>
        </is>
      </c>
      <c r="D31" t="inlineStr" s="14">
        <is>
          <t>Information Gathered - Level 1</t>
        </is>
      </c>
      <c r="E31" s="17">
        <v>1</v>
      </c>
      <c r="F31" t="inlineStr" s="14">
        <is>
          <t>Authentication &amp; Credentials</t>
        </is>
      </c>
      <c r="G31" t="inlineStr" s="16">
        <is>
          <t>Lock accounts after a defined number of invalid attempts; provide time-based, self-service or administrator unlock</t>
        </is>
      </c>
    </row>
    <row r="32">
      <c r="A32" t="inlineStr" s="14">
        <is>
          <t>150845</t>
        </is>
      </c>
      <c r="B32" t="inlineStr" s="15">
        <is>
          <t>Business logic abuse potential due to presence of external domains detected</t>
        </is>
      </c>
      <c r="C32" t="inlineStr" s="14">
        <is>
          <t>Web (Qualys)</t>
        </is>
      </c>
      <c r="D32" t="inlineStr" s="14">
        <is>
          <t>Information Gathered - Level 1</t>
        </is>
      </c>
      <c r="E32" s="17">
        <v>2</v>
      </c>
      <c r="F32" t="inlineStr" s="14">
        <is>
          <t>Dependencies &amp; Platform</t>
        </is>
      </c>
      <c r="G32" t="inlineStr" s="16">
        <is>
          <t>Audit the external domains the application accesses; scan them where possible</t>
        </is>
      </c>
    </row>
    <row r="33">
      <c r="A33" t="inlineStr" s="14">
        <is>
          <t>150938</t>
        </is>
      </c>
      <c r="B33" t="inlineStr" s="15">
        <is>
          <t>Possible DOM XSS</t>
        </is>
      </c>
      <c r="C33" t="inlineStr" s="14">
        <is>
          <t>Web (Qualys)</t>
        </is>
      </c>
      <c r="D33" t="inlineStr" s="14">
        <is>
          <t>Information Gathered - Level 1</t>
        </is>
      </c>
      <c r="E33" s="17">
        <v>2</v>
      </c>
      <c r="F33" t="inlineStr" s="14">
        <is>
          <t>Injection &amp; Output Encoding</t>
        </is>
      </c>
      <c r="G33" t="inlineStr" s="16">
        <is>
          <t>Break the source-to-sink connection; avoid dangerous client-side sinks</t>
        </is>
      </c>
    </row>
    <row r="34">
      <c r="A34" t="inlineStr" s="14">
        <is>
          <t>531006</t>
        </is>
      </c>
      <c r="B34" t="inlineStr" s="15">
        <is>
          <t>Cross Frame Scripting Protection Missing</t>
        </is>
      </c>
      <c r="C34" t="inlineStr" s="14">
        <is>
          <t>Web (Qualys)</t>
        </is>
      </c>
      <c r="D34" t="inlineStr" s="14">
        <is>
          <t>Information Gathered - Level 1</t>
        </is>
      </c>
      <c r="E34" s="17">
        <v>1</v>
      </c>
      <c r="F34" t="inlineStr" s="14">
        <is>
          <t>Security Headers</t>
        </is>
      </c>
      <c r="G34" t="inlineStr" s="16">
        <is>
          <t>Prevent frame embedding: framebusting, X-Frame-Options, or CSP frame-ancestors self</t>
        </is>
      </c>
    </row>
    <row r="35">
      <c r="A35" t="inlineStr" s="14">
        <is>
          <t>certificate-common-name-mismatch</t>
        </is>
      </c>
      <c r="B35" t="inlineStr" s="15">
        <is>
          <t>X.509 Certificate Subject CN Does Not Match the Entity Name</t>
        </is>
      </c>
      <c r="C35" t="inlineStr" s="14">
        <is>
          <t>Infra (Rapid7)</t>
        </is>
      </c>
      <c r="D35" t="inlineStr" s="14">
        <is>
          <t>Severe</t>
        </is>
      </c>
      <c r="E35" s="17">
        <v>4</v>
      </c>
      <c r="F35" t="inlineStr" s="14">
        <is>
          <t>Transport &amp; Certificates</t>
        </is>
      </c>
      <c r="G35" t="inlineStr" s="16">
        <is>
          <t>Generate a new certificate whose CN reflects the hostname, signed by a CA trusted by client and server</t>
        </is>
      </c>
    </row>
    <row r="36">
      <c r="A36" t="inlineStr" s="14">
        <is>
          <t>http-iis-0035</t>
        </is>
      </c>
      <c r="B36" t="inlineStr" s="15">
        <is>
          <t>NT IIS Malformed HTTP Request Header DoS Vulnerability (CVE-1999-0867 / MS99-029)</t>
        </is>
      </c>
      <c r="C36" t="inlineStr" s="14">
        <is>
          <t>Infra (Rapid7)</t>
        </is>
      </c>
      <c r="D36" t="inlineStr" s="14">
        <is>
          <t>Severe</t>
        </is>
      </c>
      <c r="E36" s="17">
        <v>2</v>
      </c>
      <c r="F36" t="inlineStr" s="14">
        <is>
          <t>Dependencies &amp; Platform</t>
        </is>
      </c>
      <c r="G36" t="inlineStr" s="16">
        <is>
          <t>Apply the Microsoft patch; restrict external exposure of the affected management port (8172)</t>
        </is>
      </c>
    </row>
    <row r="37">
      <c r="A37" t="inlineStr" s="14">
        <is>
          <t>ssl-weak-message-authentication-code-algorithms</t>
        </is>
      </c>
      <c r="B37" t="inlineStr" s="15">
        <is>
          <t>TLS/SSL Weak Message Authentication Code Cipher Suites (MD5 / SHA1 HMACs)</t>
        </is>
      </c>
      <c r="C37" t="inlineStr" s="14">
        <is>
          <t>Infra (Rapid7)</t>
        </is>
      </c>
      <c r="D37" t="inlineStr" s="14">
        <is>
          <t>Severe</t>
        </is>
      </c>
      <c r="E37" s="17">
        <v>4</v>
      </c>
      <c r="F37" t="inlineStr" s="14">
        <is>
          <t>Transport &amp; Certificates</t>
        </is>
      </c>
      <c r="G37" t="inlineStr" s="16">
        <is>
          <t>Use TLS 1.2 and the recommended ECDHE/GCM cipher list; exclude MD5, SHA1, RC4, 3DES, DES, PSK, DSS</t>
        </is>
      </c>
    </row>
    <row r="38">
      <c r="A38" t="inlineStr" s="14">
        <is>
          <t>ssl-static-key-ciphers</t>
        </is>
      </c>
      <c r="B38" t="inlineStr" s="15">
        <is>
          <t>TLS/SSL Server Supports The Use of Static Key Ciphers (no Forward Secrecy)</t>
        </is>
      </c>
      <c r="C38" t="inlineStr" s="14">
        <is>
          <t>Infra (Rapid7)</t>
        </is>
      </c>
      <c r="D38" t="inlineStr" s="14">
        <is>
          <t>Moderate</t>
        </is>
      </c>
      <c r="E38" s="17">
        <v>4</v>
      </c>
      <c r="F38" t="inlineStr" s="14">
        <is>
          <t>Transport &amp; Certificates</t>
        </is>
      </c>
      <c r="G38" t="inlineStr" s="16">
        <is>
          <t>Configure the server to disable support for static key cipher suites</t>
        </is>
      </c>
    </row>
    <row r="39">
      <c r="A39" t="inlineStr" s="14">
        <is>
          <t>ssl-only-weak-ciphers</t>
        </is>
      </c>
      <c r="B39" t="inlineStr" s="15">
        <is>
          <t>TLS/SSL Server Does Not Support Any Strong Cipher Algorithms</t>
        </is>
      </c>
      <c r="C39" t="inlineStr" s="14">
        <is>
          <t>Infra (Rapid7)</t>
        </is>
      </c>
      <c r="D39" t="inlineStr" s="14">
        <is>
          <t>Moderate</t>
        </is>
      </c>
      <c r="E39" s="17">
        <v>2</v>
      </c>
      <c r="F39" t="inlineStr" s="14">
        <is>
          <t>Transport &amp; Certificates</t>
        </is>
      </c>
      <c r="G39" t="inlineStr" s="16">
        <is>
          <t>Enable at least one strong AEAD cipher suite (ECDHE/DHE with AES-GCM)</t>
        </is>
      </c>
    </row>
  </sheetData>
  <conditionalFormatting sqref="D2:D39">
    <cfRule type="containsText" dxfId="4" priority="1" text="Level 5">
      <formula>NOT(ISERROR(SEARCH("Level 5",D2)))</formula>
    </cfRule>
  </conditionalFormatting>
  <conditionalFormatting sqref="D2:D39">
    <cfRule type="containsText" dxfId="5" priority="2" text="Severe">
      <formula>NOT(ISERROR(SEARCH("Severe",D2)))</formula>
    </cfRule>
  </conditionalFormatting>
  <conditionalFormatting sqref="D2:D39">
    <cfRule type="containsText" dxfId="6" priority="3" text="Confirmed Vulnerability - Level 3">
      <formula>NOT(ISERROR(SEARCH("Confirmed Vulnerability - Level 3",D2)))</formula>
    </cfRule>
  </conditionalFormatting>
  <tableParts count="1">
    <tablePart n0:id="rId1"/>
  </tableParts>
</worksheet>
</file>

<file path=xl/worksheets/sheet4.xml><?xml version="1.0" encoding="utf-8"?>
<worksheet xmlns="http://schemas.openxmlformats.org/spreadsheetml/2006/main" xmlns:n0="http://schemas.openxmlformats.org/officeDocument/2006/relationships">
  <cols>
    <col min="1" max="1" width="30" customWidth="1"/>
    <col min="2" max="2" width="13" customWidth="1"/>
    <col min="3" max="3" width="13" customWidth="1"/>
    <col min="4" max="4" width="13" customWidth="1"/>
    <col min="5" max="5" width="13" customWidth="1"/>
    <col min="6" max="6" width="13" customWidth="1"/>
    <col min="7" max="7" width="20" customWidth="1"/>
    <col min="8" max="8" width="20" customWidth="1"/>
  </cols>
  <sheetData>
    <row r="1">
      <c r="A1" s="19" t="inlineStr">
        <is>
          <t>Web application severity distribution (Qualys WAS, 30 Jul 2026)</t>
        </is>
      </c>
      <c r="B1" s="18"/>
      <c r="C1" s="18"/>
      <c r="D1" s="18"/>
      <c r="E1" s="18"/>
      <c r="F1" s="18"/>
      <c r="G1" s="18"/>
      <c r="H1" s="18"/>
    </row>
    <row r="2">
      <c r="A2" t="inlineStr" s="21">
        <is>
          <t>Web Application</t>
        </is>
      </c>
      <c r="B2" t="inlineStr" s="21">
        <is>
          <t>Level 5</t>
        </is>
      </c>
      <c r="C2" t="inlineStr" s="21">
        <is>
          <t>Level 4</t>
        </is>
      </c>
      <c r="D2" t="inlineStr" s="21">
        <is>
          <t>Level 3</t>
        </is>
      </c>
      <c r="E2" t="inlineStr" s="21">
        <is>
          <t>Level 2</t>
        </is>
      </c>
      <c r="F2" t="inlineStr" s="21">
        <is>
          <t>Level 1</t>
        </is>
      </c>
      <c r="G2" t="inlineStr" s="21">
        <is>
          <t>Total Vulnerabilities</t>
        </is>
      </c>
      <c r="H2" t="inlineStr" s="21">
        <is>
          <t>Information Gathered</t>
        </is>
      </c>
    </row>
    <row r="3">
      <c r="A3" t="inlineStr" s="23">
        <is>
          <t>RAPO-ITPM</t>
        </is>
      </c>
      <c r="B3" s="27">
        <v>0</v>
      </c>
      <c r="C3" s="27">
        <v>0</v>
      </c>
      <c r="D3" s="27">
        <v>26</v>
      </c>
      <c r="E3" s="27">
        <v>7</v>
      </c>
      <c r="F3" s="27">
        <v>1</v>
      </c>
      <c r="G3" s="27">
        <f>SUM(B3:F3)</f>
      </c>
      <c r="H3" s="27">
        <v>52</v>
      </c>
    </row>
    <row r="4">
      <c r="A4" t="inlineStr" s="23">
        <is>
          <t>RAPO-SCM</t>
        </is>
      </c>
      <c r="B4" s="27">
        <v>1</v>
      </c>
      <c r="C4" s="27">
        <v>0</v>
      </c>
      <c r="D4" s="27">
        <v>4</v>
      </c>
      <c r="E4" s="27">
        <v>3</v>
      </c>
      <c r="F4" s="27">
        <v>3</v>
      </c>
      <c r="G4" s="27">
        <f>SUM(B4:F4)</f>
      </c>
      <c r="H4" s="27">
        <v>54</v>
      </c>
    </row>
    <row r="5">
      <c r="A5" t="inlineStr" s="25">
        <is>
          <t>Total</t>
        </is>
      </c>
      <c r="B5" s="27">
        <f>SUM(B3:B4)</f>
      </c>
      <c r="C5" s="27">
        <f>SUM(C3:C4)</f>
      </c>
      <c r="D5" s="27">
        <f>SUM(D3:D4)</f>
      </c>
      <c r="E5" s="27">
        <f>SUM(E3:E4)</f>
      </c>
      <c r="F5" s="27">
        <f>SUM(F3:F4)</f>
      </c>
      <c r="G5" s="27">
        <f>SUM(G3:G4)</f>
      </c>
      <c r="H5" s="27">
        <f>SUM(H3:H4)</f>
      </c>
    </row>
    <row r="6">
      <c r="A6" s="18"/>
      <c r="B6" s="18"/>
      <c r="C6" s="18"/>
      <c r="D6" s="18"/>
      <c r="E6" s="18"/>
      <c r="F6" s="18"/>
      <c r="G6" s="18"/>
      <c r="H6" s="18"/>
    </row>
    <row r="7">
      <c r="A7" t="inlineStr" s="20">
        <is>
          <t>Findings by risk category (from the Findings Register)</t>
        </is>
      </c>
      <c r="B7" s="18"/>
      <c r="C7" s="18"/>
      <c r="D7" s="18"/>
      <c r="E7" s="18"/>
      <c r="F7" s="18"/>
      <c r="G7" s="18"/>
      <c r="H7" s="18"/>
    </row>
    <row r="8">
      <c r="A8" t="inlineStr" s="22">
        <is>
          <t>Risk Category</t>
        </is>
      </c>
      <c r="B8" t="inlineStr" s="22">
        <is>
          <t>Finding Types</t>
        </is>
      </c>
      <c r="C8" t="inlineStr" s="22">
        <is>
          <t>Total Instances</t>
        </is>
      </c>
      <c r="D8" s="18"/>
      <c r="E8" s="18"/>
      <c r="F8" s="18"/>
      <c r="G8" s="18"/>
      <c r="H8" s="18"/>
    </row>
    <row r="9">
      <c r="A9" t="inlineStr" s="24">
        <is>
          <t>Transport &amp; Certificates</t>
        </is>
      </c>
      <c r="B9" s="28">
        <f>COUNTIF('Findings Register'!$F$2:$F$39,$A9)</f>
      </c>
      <c r="C9" s="28">
        <f>SUMIF('Findings Register'!$F$2:$F$39,$A9,'Findings Register'!$E$2:$E$39)</f>
      </c>
      <c r="D9" s="18"/>
      <c r="E9" s="18"/>
      <c r="F9" s="18"/>
      <c r="G9" s="18"/>
      <c r="H9" s="18"/>
    </row>
    <row r="10">
      <c r="A10" t="inlineStr" s="24">
        <is>
          <t>Session &amp; Cookies</t>
        </is>
      </c>
      <c r="B10" s="28">
        <f>COUNTIF('Findings Register'!$F$2:$F$39,$A10)</f>
      </c>
      <c r="C10" s="28">
        <f>SUMIF('Findings Register'!$F$2:$F$39,$A10,'Findings Register'!$E$2:$E$39)</f>
      </c>
      <c r="D10" s="18"/>
      <c r="E10" s="18"/>
      <c r="F10" s="18"/>
      <c r="G10" s="18"/>
      <c r="H10" s="18"/>
    </row>
    <row r="11">
      <c r="A11" t="inlineStr" s="24">
        <is>
          <t>Authentication &amp; Credentials</t>
        </is>
      </c>
      <c r="B11" s="28">
        <f>COUNTIF('Findings Register'!$F$2:$F$39,$A11)</f>
      </c>
      <c r="C11" s="28">
        <f>SUMIF('Findings Register'!$F$2:$F$39,$A11,'Findings Register'!$E$2:$E$39)</f>
      </c>
      <c r="D11" s="18"/>
      <c r="E11" s="18"/>
      <c r="F11" s="18"/>
      <c r="G11" s="18"/>
      <c r="H11" s="18"/>
    </row>
    <row r="12">
      <c r="A12" t="inlineStr" s="24">
        <is>
          <t>Data Protection</t>
        </is>
      </c>
      <c r="B12" s="28">
        <f>COUNTIF('Findings Register'!$F$2:$F$39,$A12)</f>
      </c>
      <c r="C12" s="28">
        <f>SUMIF('Findings Register'!$F$2:$F$39,$A12,'Findings Register'!$E$2:$E$39)</f>
      </c>
      <c r="D12" s="18"/>
      <c r="E12" s="18"/>
      <c r="F12" s="18"/>
      <c r="G12" s="18"/>
      <c r="H12" s="18"/>
    </row>
    <row r="13">
      <c r="A13" t="inlineStr" s="24">
        <is>
          <t>Security Headers</t>
        </is>
      </c>
      <c r="B13" s="28">
        <f>COUNTIF('Findings Register'!$F$2:$F$39,$A13)</f>
      </c>
      <c r="C13" s="28">
        <f>SUMIF('Findings Register'!$F$2:$F$39,$A13,'Findings Register'!$E$2:$E$39)</f>
      </c>
      <c r="D13" s="18"/>
      <c r="E13" s="18"/>
      <c r="F13" s="18"/>
      <c r="G13" s="18"/>
      <c r="H13" s="18"/>
    </row>
    <row r="14">
      <c r="A14" t="inlineStr" s="24">
        <is>
          <t>Injection &amp; Output Encoding</t>
        </is>
      </c>
      <c r="B14" s="28">
        <f>COUNTIF('Findings Register'!$F$2:$F$39,$A14)</f>
      </c>
      <c r="C14" s="28">
        <f>SUMIF('Findings Register'!$F$2:$F$39,$A14,'Findings Register'!$E$2:$E$39)</f>
      </c>
      <c r="D14" s="18"/>
      <c r="E14" s="18"/>
      <c r="F14" s="18"/>
      <c r="G14" s="18"/>
      <c r="H14" s="18"/>
    </row>
    <row r="15">
      <c r="A15" t="inlineStr" s="24">
        <is>
          <t>Dependencies &amp; Platform</t>
        </is>
      </c>
      <c r="B15" s="28">
        <f>COUNTIF('Findings Register'!$F$2:$F$39,$A15)</f>
      </c>
      <c r="C15" s="28">
        <f>SUMIF('Findings Register'!$F$2:$F$39,$A15,'Findings Register'!$E$2:$E$39)</f>
      </c>
      <c r="D15" s="18"/>
      <c r="E15" s="18"/>
      <c r="F15" s="18"/>
      <c r="G15" s="18"/>
      <c r="H15" s="18"/>
    </row>
    <row r="16">
      <c r="A16" t="inlineStr" s="24">
        <is>
          <t>Attack Surface</t>
        </is>
      </c>
      <c r="B16" s="28">
        <f>COUNTIF('Findings Register'!$F$2:$F$39,$A16)</f>
      </c>
      <c r="C16" s="28">
        <f>SUMIF('Findings Register'!$F$2:$F$39,$A16,'Findings Register'!$E$2:$E$39)</f>
      </c>
      <c r="D16" s="18"/>
      <c r="E16" s="18"/>
      <c r="F16" s="18"/>
      <c r="G16" s="18"/>
      <c r="H16" s="18"/>
    </row>
    <row r="17">
      <c r="A17" t="inlineStr" s="24">
        <is>
          <t>Error Handling</t>
        </is>
      </c>
      <c r="B17" s="28">
        <f>COUNTIF('Findings Register'!$F$2:$F$39,$A17)</f>
      </c>
      <c r="C17" s="28">
        <f>SUMIF('Findings Register'!$F$2:$F$39,$A17,'Findings Register'!$E$2:$E$39)</f>
      </c>
      <c r="D17" s="18"/>
      <c r="E17" s="18"/>
      <c r="F17" s="18"/>
      <c r="G17" s="18"/>
      <c r="H17" s="18"/>
    </row>
    <row r="18">
      <c r="A18" t="inlineStr" s="26">
        <is>
          <t>Total</t>
        </is>
      </c>
      <c r="B18" s="28">
        <f>SUM(B9:B17)</f>
      </c>
      <c r="C18" s="28">
        <f>SUM(C9:C17)</f>
      </c>
      <c r="D18" s="18"/>
      <c r="E18" s="18"/>
      <c r="F18" s="18"/>
      <c r="G18" s="18"/>
      <c r="H18" s="18"/>
    </row>
    <row r="19">
      <c r="A19" s="18"/>
      <c r="B19" s="18"/>
      <c r="C19" s="18"/>
      <c r="D19" s="18"/>
      <c r="E19" s="18"/>
      <c r="F19" s="18"/>
      <c r="G19" s="18"/>
      <c r="H19" s="18"/>
    </row>
    <row r="20">
      <c r="A20" t="inlineStr" s="29">
        <is>
          <t>Infrastructure scan (Rapid7 InsightVM, 29 Jul 2026): no critical vulnerabilities reported; 3 severe and 2 moderate types, 10 instances, all in the Network category.</t>
        </is>
      </c>
      <c r="B20" s="18"/>
      <c r="C20" s="18"/>
      <c r="D20" s="18"/>
      <c r="E20" s="18"/>
      <c r="F20" s="18"/>
      <c r="G20" s="18"/>
      <c r="H20" s="18"/>
    </row>
    <row r="21">
      <c r="A21" t="inlineStr" s="29">
        <is>
          <t>Highest-risk infrastructure finding: certificate-common-name-mismatch, risk score 3,179. Each host carries a risk score of 2,186.</t>
        </is>
      </c>
      <c r="B21" s="18"/>
      <c r="C21" s="18"/>
      <c r="D21" s="18"/>
      <c r="E21" s="18"/>
      <c r="F21" s="18"/>
      <c r="G21" s="18"/>
      <c r="H21" s="18"/>
    </row>
  </sheetData>
  <drawing n0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2026-07-02T06:11:36Z</dcterms:created>
  <dcterms:modified xmlns:dcterms="http://purl.org/dc/terms/" xmlns:xsi="http://www.w3.org/2001/XMLSchema-instance" xsi:type="dcterms:W3CDTF">2026-07-02T06:11:36Z</dcterms:modified>
</cp:coreProperties>
</file>